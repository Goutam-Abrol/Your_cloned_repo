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uta\Downloads\"/>
    </mc:Choice>
  </mc:AlternateContent>
  <xr:revisionPtr revIDLastSave="0" documentId="13_ncr:1_{49444CB6-7D4B-435A-BB1F-7BE6F3870B18}" xr6:coauthVersionLast="47" xr6:coauthVersionMax="47" xr10:uidLastSave="{00000000-0000-0000-0000-000000000000}"/>
  <bookViews>
    <workbookView xWindow="-108" yWindow="-108" windowWidth="23256" windowHeight="131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5" i="19" l="1"/>
  <c r="C26" i="20"/>
  <c r="C27" i="20"/>
  <c r="C28" i="20"/>
  <c r="C29" i="20"/>
  <c r="C30" i="20"/>
  <c r="C31" i="20"/>
  <c r="C32" i="20"/>
  <c r="C33" i="20"/>
  <c r="C34" i="20"/>
  <c r="C35" i="20"/>
  <c r="C36" i="20"/>
  <c r="C37" i="20"/>
  <c r="C25" i="20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5" i="15"/>
</calcChain>
</file>

<file path=xl/sharedStrings.xml><?xml version="1.0" encoding="utf-8"?>
<sst xmlns="http://schemas.openxmlformats.org/spreadsheetml/2006/main" count="419" uniqueCount="194">
  <si>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</si>
  <si>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</si>
  <si>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</si>
  <si>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</si>
  <si>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</si>
  <si>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</si>
  <si>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</si>
  <si>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</si>
  <si>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</si>
  <si>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</si>
  <si>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</si>
  <si>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</si>
  <si>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</si>
  <si>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</si>
  <si>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</si>
  <si>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</si>
  <si>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</si>
  <si>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</si>
  <si>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</si>
  <si>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</si>
  <si>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</si>
  <si>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</si>
  <si>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</si>
  <si>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</si>
  <si>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</si>
  <si>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</si>
  <si>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</si>
  <si>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</si>
  <si>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</si>
  <si>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</si>
  <si>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</si>
  <si>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</si>
  <si>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</si>
  <si>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</si>
  <si>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</si>
  <si>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</si>
  <si>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</si>
  <si>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</si>
  <si>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</si>
  <si>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</si>
  <si>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</si>
  <si>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</si>
  <si>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</si>
  <si>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</si>
  <si>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</si>
  <si>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</si>
  <si>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</si>
  <si>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</si>
  <si>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</si>
  <si>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</si>
  <si>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</si>
  <si>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</si>
  <si>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</si>
  <si>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</si>
  <si>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</si>
  <si>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</si>
  <si>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</si>
  <si>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</si>
  <si>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</si>
  <si>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</si>
  <si>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</si>
  <si>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</si>
  <si>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</si>
  <si>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</si>
  <si>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</si>
  <si>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</si>
  <si>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</si>
  <si>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</si>
  <si>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</si>
  <si>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</si>
  <si>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</si>
  <si>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</si>
  <si>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</si>
  <si>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</si>
  <si>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</si>
  <si>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</si>
  <si>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</si>
  <si>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</si>
  <si>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</si>
  <si>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</si>
  <si>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</si>
  <si>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</si>
  <si>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</si>
  <si>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</si>
  <si>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</si>
  <si>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</si>
  <si>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</si>
  <si>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</si>
  <si>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</si>
  <si>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</si>
  <si>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</si>
  <si>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</si>
  <si>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</si>
  <si>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</si>
  <si>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</si>
  <si>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</si>
  <si>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</si>
  <si>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</si>
  <si>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</si>
  <si>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</si>
  <si>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</si>
  <si>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</si>
  <si>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</si>
  <si>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</si>
  <si>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</si>
  <si>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</si>
  <si>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</si>
  <si>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</si>
  <si>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</si>
  <si>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</si>
  <si>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</si>
  <si>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</si>
  <si>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</si>
  <si>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</si>
  <si>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</si>
  <si>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</si>
  <si>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</si>
  <si>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</si>
  <si>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</si>
  <si>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</si>
  <si>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</si>
  <si>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</si>
  <si>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</si>
  <si>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</si>
  <si>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</si>
  <si>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</si>
  <si>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</si>
  <si>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</si>
  <si>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</si>
  <si>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</si>
  <si>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</si>
  <si>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</si>
  <si>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</si>
  <si>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</si>
  <si>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</si>
  <si>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</si>
  <si>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</si>
  <si>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</si>
  <si>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</si>
  <si>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</si>
  <si>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</si>
  <si>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</si>
  <si>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</si>
  <si>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</si>
  <si>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</si>
  <si>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</si>
  <si>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</si>
  <si>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</si>
  <si>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</si>
  <si>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</si>
  <si>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</si>
  <si>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</si>
  <si>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</si>
  <si>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</si>
  <si>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</si>
  <si>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</si>
  <si>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</si>
  <si>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</si>
  <si>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</si>
  <si>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</si>
  <si>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</si>
  <si>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</si>
  <si>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</si>
  <si>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</si>
  <si>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</si>
  <si>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</si>
  <si>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</si>
  <si>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</si>
  <si>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</si>
  <si>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</si>
  <si>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</si>
  <si>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</si>
  <si>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</si>
  <si>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</si>
  <si>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</si>
  <si>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</si>
  <si>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</si>
  <si>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done</t>
  </si>
  <si>
    <t>SUMIF(Dataset!H2:H40,"&gt;20")</t>
  </si>
  <si>
    <t>used vlookup</t>
  </si>
  <si>
    <t>Text to column functionality is used</t>
  </si>
  <si>
    <t>1.  selected the range from A16 to A54</t>
  </si>
  <si>
    <t>2. used Text to column functionality from data tab then selected delimeter = "-" from custom.</t>
  </si>
  <si>
    <t>3. in last selected destination as B16:F16</t>
  </si>
  <si>
    <t>1. sum function is used with two parameters</t>
  </si>
  <si>
    <t>a. 1st parameter is sumif function which sums only numeric values of the column.</t>
  </si>
  <si>
    <t>b. 2nd parameter is countif function which counts the number of #N/A in column and then multiply it with 20</t>
  </si>
  <si>
    <t>2. At last sum is done of both these two parameter.</t>
  </si>
  <si>
    <t>I was confused whether to replace the #N/A value with 20 in actual table or not , in second case we can use find and replace functionality and use =sum(c12:c21) after replacing it with 20.</t>
  </si>
  <si>
    <t>1. to find the lookup values for name_1 and name_2 from Table_C to Name from Table_B</t>
  </si>
  <si>
    <t>VLOOKUP((VLOOKUP(A25,$M$11:$N$20,2,FALSE)),$A$12:$J$20, MATCH((VLOOKUP(B25,$M$11:$N$20,2,FALSE)),$A$11:$J$11,0),FALSE)</t>
  </si>
  <si>
    <t>2.  Using vlookup to lookup the correspond value of name_1 and match it with the correspond value of name_2 using match function</t>
  </si>
  <si>
    <t>3. after this we will find the exact match using this formula and we can fill the column using dropdown.</t>
  </si>
  <si>
    <t>SUM(SUMIF(C15:C24,"&lt;&gt;#N/A"),COUNTIF(C15:C24,"#N/A")*20)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</si>
</sst>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13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  <xf numFmtId="0" fontId="18" fillId="6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49" fontId="20" fillId="0" borderId="0" xfId="0" applyNumberFormat="1" applyFont="1"/>
    <xf numFmtId="0" fontId="3" fillId="0" borderId="1" xfId="0" applyNumberFormat="1" applyFont="1" applyBorder="1"/>
    <xf numFmtId="0" fontId="19" fillId="0" borderId="0" xfId="12"/>
    <xf numFmtId="0" fontId="18" fillId="6" borderId="0" xfId="11"/>
  </cellXfs>
  <cellStyles count="13">
    <cellStyle name="Good" xfId="11" builtinId="26"/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  <cellStyle name="Warning Text" xfId="12" builtinId="11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5" activePane="bottomLeft" state="frozen"/>
      <selection pane="bottomLeft" activeCell="N1" sqref="N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6" sqref="D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D3" s="1" t="s">
        <v>177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177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178</v>
      </c>
      <c r="D5" s="1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D6" s="1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opLeftCell="A4" zoomScaleNormal="100" workbookViewId="0">
      <selection activeCell="H5" sqref="H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8" s="41" customFormat="1" ht="21" x14ac:dyDescent="0.4">
      <c r="A1" s="42" t="s">
        <v>55</v>
      </c>
      <c r="B1" s="41" t="s">
        <v>163</v>
      </c>
    </row>
    <row r="2" spans="1:8" s="41" customFormat="1" ht="21" x14ac:dyDescent="0.4">
      <c r="B2" s="41" t="s">
        <v>160</v>
      </c>
    </row>
    <row r="3" spans="1:8" ht="14.4" x14ac:dyDescent="0.3">
      <c r="A3" s="1"/>
      <c r="B3" s="1"/>
      <c r="C3" s="1"/>
      <c r="D3" s="1"/>
      <c r="E3" s="1"/>
      <c r="F3" s="1"/>
      <c r="G3" s="1"/>
    </row>
    <row r="4" spans="1:8" ht="23.4" x14ac:dyDescent="0.45">
      <c r="A4" s="18" t="s">
        <v>161</v>
      </c>
      <c r="B4" s="1"/>
      <c r="C4" s="1"/>
      <c r="D4" s="1"/>
      <c r="E4" s="1"/>
      <c r="F4" s="1"/>
      <c r="G4" s="1"/>
    </row>
    <row r="5" spans="1:8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  <c r="H5" s="2" t="s">
        <v>179</v>
      </c>
    </row>
    <row r="6" spans="1:8" ht="14.4" x14ac:dyDescent="0.3">
      <c r="A6" s="7" t="s">
        <v>40</v>
      </c>
      <c r="B6" s="12">
        <f>VLOOKUP(A6,Dataset!A$2:X$40,7,FALSE)</f>
        <v>2.7</v>
      </c>
      <c r="C6" s="12">
        <f>VLOOKUP(A6,Dataset!A$2:X$40,14,FALSE)</f>
        <v>7.6</v>
      </c>
      <c r="D6" s="12">
        <f>VLOOKUP(A6,Dataset!A$2:X$40,18,FALSE)</f>
        <v>4.2</v>
      </c>
      <c r="E6" s="12">
        <f>VLOOKUP(A6,Dataset!A$2:X$40,20,FALSE)</f>
        <v>8.9</v>
      </c>
      <c r="F6" s="8">
        <f>VLOOKUP(A6,Dataset!A$2:X$40,22,FALSE)</f>
        <v>4.2</v>
      </c>
    </row>
    <row r="7" spans="1:8" ht="14.4" x14ac:dyDescent="0.3">
      <c r="A7" s="7" t="s">
        <v>4</v>
      </c>
      <c r="B7" s="12">
        <f>VLOOKUP(A7,Dataset!A$2:X$40,7,FALSE)</f>
        <v>2.7</v>
      </c>
      <c r="C7" s="12">
        <f>VLOOKUP(A7,Dataset!A$2:X$40,14,FALSE)</f>
        <v>7.6</v>
      </c>
      <c r="D7" s="12">
        <f>VLOOKUP(A7,Dataset!A$2:X$40,18,FALSE)</f>
        <v>4.2</v>
      </c>
      <c r="E7" s="12">
        <f>VLOOKUP(A7,Dataset!A$2:X$40,20,FALSE)</f>
        <v>8.9</v>
      </c>
      <c r="F7" s="8">
        <f>VLOOKUP(A7,Dataset!A$2:X$40,22,FALSE)</f>
        <v>4.2</v>
      </c>
    </row>
    <row r="8" spans="1:8" ht="14.4" x14ac:dyDescent="0.3">
      <c r="A8" s="7" t="s">
        <v>7</v>
      </c>
      <c r="B8" s="12">
        <f>VLOOKUP(A8,Dataset!A$2:X$40,7,FALSE)</f>
        <v>3.6</v>
      </c>
      <c r="C8" s="12">
        <f>VLOOKUP(A8,Dataset!A$2:X$40,14,FALSE)</f>
        <v>11.1</v>
      </c>
      <c r="D8" s="12">
        <f>VLOOKUP(A8,Dataset!A$2:X$40,18,FALSE)</f>
        <v>5.8</v>
      </c>
      <c r="E8" s="12">
        <f>VLOOKUP(A8,Dataset!A$2:X$40,20,FALSE)</f>
        <v>12.2</v>
      </c>
      <c r="F8" s="8">
        <f>VLOOKUP(A8,Dataset!A$2:X$40,22,FALSE)</f>
        <v>5.8</v>
      </c>
    </row>
    <row r="9" spans="1:8" ht="14.4" x14ac:dyDescent="0.3">
      <c r="A9" s="7" t="s">
        <v>8</v>
      </c>
      <c r="B9" s="12">
        <f>VLOOKUP(A9,Dataset!A$2:X$40,7,FALSE)</f>
        <v>4.9000000000000004</v>
      </c>
      <c r="C9" s="12">
        <f>VLOOKUP(A9,Dataset!A$2:X$40,14,FALSE)</f>
        <v>13.3</v>
      </c>
      <c r="D9" s="12">
        <f>VLOOKUP(A9,Dataset!A$2:X$40,18,FALSE)</f>
        <v>8.1</v>
      </c>
      <c r="E9" s="12">
        <f>VLOOKUP(A9,Dataset!A$2:X$40,20,FALSE)</f>
        <v>17</v>
      </c>
      <c r="F9" s="8">
        <f>VLOOKUP(A9,Dataset!A$2:X$40,22,FALSE)</f>
        <v>8.1</v>
      </c>
    </row>
    <row r="10" spans="1:8" ht="14.4" x14ac:dyDescent="0.3">
      <c r="A10" s="7" t="s">
        <v>11</v>
      </c>
      <c r="B10" s="12">
        <f>VLOOKUP(A10,Dataset!A$2:X$40,7,FALSE)</f>
        <v>9.4</v>
      </c>
      <c r="C10" s="12">
        <f>VLOOKUP(A10,Dataset!A$2:X$40,14,FALSE)</f>
        <v>28.3</v>
      </c>
      <c r="D10" s="12">
        <f>VLOOKUP(A10,Dataset!A$2:X$40,18,FALSE)</f>
        <v>16.100000000000001</v>
      </c>
      <c r="E10" s="12">
        <f>VLOOKUP(A10,Dataset!A$2:X$40,20,FALSE)</f>
        <v>32.799999999999997</v>
      </c>
      <c r="F10" s="8">
        <f>VLOOKUP(A10,Dataset!A$2:X$40,22,FALSE)</f>
        <v>16.100000000000001</v>
      </c>
    </row>
    <row r="11" spans="1:8" ht="14.4" x14ac:dyDescent="0.3">
      <c r="A11" s="7" t="s">
        <v>12</v>
      </c>
      <c r="B11" s="12">
        <f>VLOOKUP(A11,Dataset!A$2:X$40,7,FALSE)</f>
        <v>11.6</v>
      </c>
      <c r="C11" s="12">
        <f>VLOOKUP(A11,Dataset!A$2:X$40,14,FALSE)</f>
        <v>35.200000000000003</v>
      </c>
      <c r="D11" s="12">
        <f>VLOOKUP(A11,Dataset!A$2:X$40,18,FALSE)</f>
        <v>21.3</v>
      </c>
      <c r="E11" s="12">
        <f>VLOOKUP(A11,Dataset!A$2:X$40,20,FALSE)</f>
        <v>43</v>
      </c>
      <c r="F11" s="8">
        <f>VLOOKUP(A11,Dataset!A$2:X$40,22,FALSE)</f>
        <v>21.3</v>
      </c>
    </row>
    <row r="12" spans="1:8" ht="14.4" x14ac:dyDescent="0.3">
      <c r="A12" s="7" t="s">
        <v>14</v>
      </c>
      <c r="B12" s="12">
        <f>VLOOKUP(A12,Dataset!A$2:X$40,7,FALSE)</f>
        <v>18.399999999999999</v>
      </c>
      <c r="C12" s="12">
        <f>VLOOKUP(A12,Dataset!A$2:X$40,14,FALSE)</f>
        <v>55.6</v>
      </c>
      <c r="D12" s="12">
        <f>VLOOKUP(A12,Dataset!A$2:X$40,18,FALSE)</f>
        <v>33.799999999999997</v>
      </c>
      <c r="E12" s="12">
        <f>VLOOKUP(A12,Dataset!A$2:X$40,20,FALSE)</f>
        <v>67.900000000000006</v>
      </c>
      <c r="F12" s="8">
        <f>VLOOKUP(A12,Dataset!A$2:X$40,22,FALSE)</f>
        <v>33.799999999999997</v>
      </c>
    </row>
    <row r="13" spans="1:8" ht="14.4" x14ac:dyDescent="0.3">
      <c r="A13" s="7" t="s">
        <v>15</v>
      </c>
      <c r="B13" s="12">
        <f>VLOOKUP(A13,Dataset!A$2:X$40,7,FALSE)</f>
        <v>0</v>
      </c>
      <c r="C13" s="12">
        <f>VLOOKUP(A13,Dataset!A$2:X$40,14,FALSE)</f>
        <v>0</v>
      </c>
      <c r="D13" s="12">
        <f>VLOOKUP(A13,Dataset!A$2:X$40,18,FALSE)</f>
        <v>0</v>
      </c>
      <c r="E13" s="12">
        <f>VLOOKUP(A13,Dataset!A$2:X$40,20,FALSE)</f>
        <v>0</v>
      </c>
      <c r="F13" s="8">
        <f>VLOOKUP(A13,Dataset!A$2:X$40,22,FALSE)</f>
        <v>0</v>
      </c>
    </row>
    <row r="14" spans="1:8" ht="14.4" x14ac:dyDescent="0.3">
      <c r="A14" s="7" t="s">
        <v>16</v>
      </c>
      <c r="B14" s="12">
        <f>VLOOKUP(A14,Dataset!A$2:X$40,7,FALSE)</f>
        <v>21.9</v>
      </c>
      <c r="C14" s="12">
        <f>VLOOKUP(A14,Dataset!A$2:X$40,14,FALSE)</f>
        <v>61.5</v>
      </c>
      <c r="D14" s="12">
        <f>VLOOKUP(A14,Dataset!A$2:X$40,18,FALSE)</f>
        <v>40.1</v>
      </c>
      <c r="E14" s="12">
        <f>VLOOKUP(A14,Dataset!A$2:X$40,20,FALSE)</f>
        <v>76.599999999999994</v>
      </c>
      <c r="F14" s="8">
        <f>VLOOKUP(A14,Dataset!A$2:X$40,22,FALSE)</f>
        <v>40.1</v>
      </c>
    </row>
    <row r="15" spans="1:8" ht="14.4" x14ac:dyDescent="0.3">
      <c r="A15" s="7" t="s">
        <v>18</v>
      </c>
      <c r="B15" s="12">
        <f>VLOOKUP(A15,Dataset!A$2:X$40,7,FALSE)</f>
        <v>26.8</v>
      </c>
      <c r="C15" s="12">
        <f>VLOOKUP(A15,Dataset!A$2:X$40,14,FALSE)</f>
        <v>79.599999999999994</v>
      </c>
      <c r="D15" s="12">
        <f>VLOOKUP(A15,Dataset!A$2:X$40,18,FALSE)</f>
        <v>47.9</v>
      </c>
      <c r="E15" s="12">
        <f>VLOOKUP(A15,Dataset!A$2:X$40,20,FALSE)</f>
        <v>96.8</v>
      </c>
      <c r="F15" s="8">
        <f>VLOOKUP(A15,Dataset!A$2:X$40,22,FALSE)</f>
        <v>47.9</v>
      </c>
    </row>
    <row r="16" spans="1:8" ht="14.4" x14ac:dyDescent="0.3">
      <c r="A16" s="7" t="s">
        <v>20</v>
      </c>
      <c r="B16" s="12">
        <f>VLOOKUP(A16,Dataset!A$2:X$40,7,FALSE)</f>
        <v>28.5</v>
      </c>
      <c r="C16" s="12">
        <f>VLOOKUP(A16,Dataset!A$2:X$40,14,FALSE)</f>
        <v>85.4</v>
      </c>
      <c r="D16" s="12">
        <f>VLOOKUP(A16,Dataset!A$2:X$40,18,FALSE)</f>
        <v>52.3</v>
      </c>
      <c r="E16" s="12">
        <f>VLOOKUP(A16,Dataset!A$2:X$40,20,FALSE)</f>
        <v>106.1</v>
      </c>
      <c r="F16" s="8">
        <f>VLOOKUP(A16,Dataset!A$2:X$40,22,FALSE)</f>
        <v>52.3</v>
      </c>
    </row>
    <row r="17" spans="1:6" ht="14.4" x14ac:dyDescent="0.3">
      <c r="A17" s="7" t="s">
        <v>22</v>
      </c>
      <c r="B17" s="12">
        <f>VLOOKUP(A17,Dataset!A$2:X$40,7,FALSE)</f>
        <v>30.7</v>
      </c>
      <c r="C17" s="12">
        <f>VLOOKUP(A17,Dataset!A$2:X$40,14,FALSE)</f>
        <v>92.1</v>
      </c>
      <c r="D17" s="12">
        <f>VLOOKUP(A17,Dataset!A$2:X$40,18,FALSE)</f>
        <v>57</v>
      </c>
      <c r="E17" s="12">
        <f>VLOOKUP(A17,Dataset!A$2:X$40,20,FALSE)</f>
        <v>115.1</v>
      </c>
      <c r="F17" s="8">
        <f>VLOOKUP(A17,Dataset!A$2:X$40,22,FALSE)</f>
        <v>57</v>
      </c>
    </row>
    <row r="18" spans="1:6" ht="14.4" x14ac:dyDescent="0.3">
      <c r="A18" s="7" t="s">
        <v>23</v>
      </c>
      <c r="B18" s="12">
        <f>VLOOKUP(A18,Dataset!A$2:X$40,7,FALSE)</f>
        <v>33.799999999999997</v>
      </c>
      <c r="C18" s="12">
        <f>VLOOKUP(A18,Dataset!A$2:X$40,14,FALSE)</f>
        <v>101.3</v>
      </c>
      <c r="D18" s="12">
        <f>VLOOKUP(A18,Dataset!A$2:X$40,18,FALSE)</f>
        <v>61.4</v>
      </c>
      <c r="E18" s="12">
        <f>VLOOKUP(A18,Dataset!A$2:X$40,20,FALSE)</f>
        <v>124.4</v>
      </c>
      <c r="F18" s="8">
        <f>VLOOKUP(A18,Dataset!A$2:X$40,22,FALSE)</f>
        <v>61.4</v>
      </c>
    </row>
    <row r="19" spans="1:6" ht="14.4" x14ac:dyDescent="0.3">
      <c r="A19" s="7" t="s">
        <v>24</v>
      </c>
      <c r="B19" s="12">
        <f>VLOOKUP(A19,Dataset!A$2:X$40,7,FALSE)</f>
        <v>34.700000000000003</v>
      </c>
      <c r="C19" s="12">
        <f>VLOOKUP(A19,Dataset!A$2:X$40,14,FALSE)</f>
        <v>106.1</v>
      </c>
      <c r="D19" s="12">
        <f>VLOOKUP(A19,Dataset!A$2:X$40,18,FALSE)</f>
        <v>63.6</v>
      </c>
      <c r="E19" s="12">
        <f>VLOOKUP(A19,Dataset!A$2:X$40,20,FALSE)</f>
        <v>128.6</v>
      </c>
      <c r="F19" s="8">
        <f>VLOOKUP(A19,Dataset!A$2:X$40,22,FALSE)</f>
        <v>63.6</v>
      </c>
    </row>
    <row r="20" spans="1:6" ht="14.4" x14ac:dyDescent="0.3">
      <c r="A20" s="7" t="s">
        <v>28</v>
      </c>
      <c r="B20" s="12">
        <f>VLOOKUP(A20,Dataset!A$2:X$40,7,FALSE)</f>
        <v>0</v>
      </c>
      <c r="C20" s="12">
        <f>VLOOKUP(A20,Dataset!A$2:X$40,14,FALSE)</f>
        <v>0</v>
      </c>
      <c r="D20" s="12">
        <f>VLOOKUP(A20,Dataset!A$2:X$40,18,FALSE)</f>
        <v>0</v>
      </c>
      <c r="E20" s="12">
        <f>VLOOKUP(A20,Dataset!A$2:X$40,20,FALSE)</f>
        <v>0</v>
      </c>
      <c r="F20" s="8">
        <f>VLOOKUP(A20,Dataset!A$2:X$40,22,FALSE)</f>
        <v>0</v>
      </c>
    </row>
    <row r="21" spans="1:6" ht="14.4" x14ac:dyDescent="0.3">
      <c r="A21" s="7" t="s">
        <v>57</v>
      </c>
      <c r="B21" s="12">
        <f>VLOOKUP(A21,Dataset!A$2:X$40,7,FALSE)</f>
        <v>41.3</v>
      </c>
      <c r="C21" s="12">
        <f>VLOOKUP(A21,Dataset!A$2:X$40,14,FALSE)</f>
        <v>124.4</v>
      </c>
      <c r="D21" s="12">
        <f>VLOOKUP(A21,Dataset!A$2:X$40,18,FALSE)</f>
        <v>75</v>
      </c>
      <c r="E21" s="12">
        <f>VLOOKUP(A21,Dataset!A$2:X$40,20,FALSE)</f>
        <v>151.5</v>
      </c>
      <c r="F21" s="8">
        <f>VLOOKUP(A21,Dataset!A$2:X$40,22,FALSE)</f>
        <v>75</v>
      </c>
    </row>
    <row r="22" spans="1:6" ht="14.4" x14ac:dyDescent="0.3">
      <c r="A22" s="7" t="s">
        <v>58</v>
      </c>
      <c r="B22" s="12">
        <f>VLOOKUP(A22,Dataset!A$2:X$40,7,FALSE)</f>
        <v>-1</v>
      </c>
      <c r="C22" s="12">
        <f>VLOOKUP(A22,Dataset!A$2:X$40,14,FALSE)</f>
        <v>-1</v>
      </c>
      <c r="D22" s="12">
        <f>VLOOKUP(A22,Dataset!A$2:X$40,18,FALSE)</f>
        <v>-1</v>
      </c>
      <c r="E22" s="12">
        <f>VLOOKUP(A22,Dataset!A$2:X$40,20,FALSE)</f>
        <v>-1</v>
      </c>
      <c r="F22" s="8">
        <f>VLOOKUP(A22,Dataset!A$2:X$40,22,FALSE)</f>
        <v>-1</v>
      </c>
    </row>
    <row r="23" spans="1:6" ht="14.4" x14ac:dyDescent="0.3">
      <c r="A23" s="7" t="s">
        <v>31</v>
      </c>
      <c r="B23" s="12">
        <f>VLOOKUP(A23,Dataset!A$2:X$40,7,FALSE)</f>
        <v>45</v>
      </c>
      <c r="C23" s="12">
        <f>VLOOKUP(A23,Dataset!A$2:X$40,14,FALSE)</f>
        <v>133.4</v>
      </c>
      <c r="D23" s="12">
        <f>VLOOKUP(A23,Dataset!A$2:X$40,18,FALSE)</f>
        <v>79.400000000000006</v>
      </c>
      <c r="E23" s="12">
        <f>VLOOKUP(A23,Dataset!A$2:X$40,20,FALSE)</f>
        <v>160.9</v>
      </c>
      <c r="F23" s="8">
        <f>VLOOKUP(A23,Dataset!A$2:X$40,22,FALSE)</f>
        <v>79.400000000000006</v>
      </c>
    </row>
    <row r="24" spans="1:6" ht="14.4" x14ac:dyDescent="0.3">
      <c r="A24" s="7" t="s">
        <v>32</v>
      </c>
      <c r="B24" s="12">
        <f>VLOOKUP(A24,Dataset!A$2:X$40,7,FALSE)</f>
        <v>-1</v>
      </c>
      <c r="C24" s="12">
        <f>VLOOKUP(A24,Dataset!A$2:X$40,14,FALSE)</f>
        <v>-1</v>
      </c>
      <c r="D24" s="12">
        <f>VLOOKUP(A24,Dataset!A$2:X$40,18,FALSE)</f>
        <v>-1</v>
      </c>
      <c r="E24" s="12">
        <f>VLOOKUP(A24,Dataset!A$2:X$40,20,FALSE)</f>
        <v>-1</v>
      </c>
      <c r="F24" s="8">
        <f>VLOOKUP(A24,Dataset!A$2:X$40,22,FALSE)</f>
        <v>-1</v>
      </c>
    </row>
    <row r="25" spans="1:6" ht="14.4" x14ac:dyDescent="0.3">
      <c r="A25" s="7" t="s">
        <v>34</v>
      </c>
      <c r="B25" s="12">
        <f>VLOOKUP(A25,Dataset!A$2:X$40,7,FALSE)</f>
        <v>43.3</v>
      </c>
      <c r="C25" s="12">
        <f>VLOOKUP(A25,Dataset!A$2:X$40,14,FALSE)</f>
        <v>128.6</v>
      </c>
      <c r="D25" s="12">
        <f>VLOOKUP(A25,Dataset!A$2:X$40,18,FALSE)</f>
        <v>79.400000000000006</v>
      </c>
      <c r="E25" s="12">
        <f>VLOOKUP(A25,Dataset!A$2:X$40,20,FALSE)</f>
        <v>160.9</v>
      </c>
      <c r="F25" s="8">
        <f>VLOOKUP(A25,Dataset!A$2:X$40,22,FALSE)</f>
        <v>79.400000000000006</v>
      </c>
    </row>
    <row r="26" spans="1:6" ht="14.4" x14ac:dyDescent="0.3">
      <c r="A26" s="7" t="s">
        <v>37</v>
      </c>
      <c r="B26" s="12">
        <f>VLOOKUP(A26,Dataset!A$2:X$40,7,FALSE)</f>
        <v>49.1</v>
      </c>
      <c r="C26" s="12">
        <f>VLOOKUP(A26,Dataset!A$2:X$40,14,FALSE)</f>
        <v>146.80000000000001</v>
      </c>
      <c r="D26" s="12">
        <f>VLOOKUP(A26,Dataset!A$2:X$40,18,FALSE)</f>
        <v>90.9</v>
      </c>
      <c r="E26" s="12">
        <f>VLOOKUP(A26,Dataset!A$2:X$40,20,FALSE)</f>
        <v>183.5</v>
      </c>
      <c r="F26" s="8">
        <f>VLOOKUP(A26,Dataset!A$2:X$40,22,FALSE)</f>
        <v>90.9</v>
      </c>
    </row>
    <row r="27" spans="1:6" ht="14.4" x14ac:dyDescent="0.3">
      <c r="A27" s="7" t="s">
        <v>39</v>
      </c>
      <c r="B27" s="12">
        <f>VLOOKUP(A27,Dataset!A$2:X$40,7,FALSE)</f>
        <v>51.8</v>
      </c>
      <c r="C27" s="12">
        <f>VLOOKUP(A27,Dataset!A$2:X$40,14,FALSE)</f>
        <v>156.4</v>
      </c>
      <c r="D27" s="12">
        <f>VLOOKUP(A27,Dataset!A$2:X$40,18,FALSE)</f>
        <v>93.1</v>
      </c>
      <c r="E27" s="12">
        <f>VLOOKUP(A27,Dataset!A$2:X$40,20,FALSE)</f>
        <v>188.1</v>
      </c>
      <c r="F27" s="8">
        <f>VLOOKUP(A27,Dataset!A$2:X$40,22,FALSE)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16" sqref="A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180</v>
      </c>
    </row>
    <row r="6" spans="1:10" ht="18" x14ac:dyDescent="0.35">
      <c r="A6" s="43" t="s">
        <v>152</v>
      </c>
      <c r="B6" s="40" t="s">
        <v>181</v>
      </c>
    </row>
    <row r="7" spans="1:10" ht="18" x14ac:dyDescent="0.35">
      <c r="A7" s="43"/>
      <c r="B7" s="40" t="s">
        <v>182</v>
      </c>
    </row>
    <row r="8" spans="1:10" ht="17.399999999999999" x14ac:dyDescent="0.35">
      <c r="B8" s="46" t="s">
        <v>183</v>
      </c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5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49" t="s">
        <v>193</v>
      </c>
    </row>
    <row r="7" spans="1:3" ht="14.4" x14ac:dyDescent="0.3">
      <c r="A7" s="3" t="s">
        <v>152</v>
      </c>
      <c r="B7" s="1" t="s">
        <v>184</v>
      </c>
    </row>
    <row r="8" spans="1:3" x14ac:dyDescent="0.3">
      <c r="B8" s="2" t="s">
        <v>185</v>
      </c>
    </row>
    <row r="9" spans="1:3" x14ac:dyDescent="0.3">
      <c r="B9" s="2" t="s">
        <v>186</v>
      </c>
    </row>
    <row r="10" spans="1:3" x14ac:dyDescent="0.3">
      <c r="B10" s="2" t="s">
        <v>187</v>
      </c>
    </row>
    <row r="12" spans="1:3" ht="14.4" x14ac:dyDescent="0.3">
      <c r="B12" s="48" t="s">
        <v>188</v>
      </c>
    </row>
    <row r="13" spans="1:3" ht="23.4" x14ac:dyDescent="0.45">
      <c r="A13" s="18" t="s">
        <v>161</v>
      </c>
    </row>
    <row r="14" spans="1:3" ht="14.4" x14ac:dyDescent="0.3">
      <c r="A14" s="32" t="s">
        <v>86</v>
      </c>
      <c r="B14" s="17" t="s">
        <v>87</v>
      </c>
      <c r="C14" s="17" t="s">
        <v>88</v>
      </c>
    </row>
    <row r="15" spans="1:3" ht="14.4" x14ac:dyDescent="0.3">
      <c r="A15" s="32">
        <v>44927</v>
      </c>
      <c r="B15" s="17" t="s">
        <v>59</v>
      </c>
      <c r="C15" s="47">
        <v>200</v>
      </c>
    </row>
    <row r="16" spans="1:3" ht="14.4" x14ac:dyDescent="0.3">
      <c r="A16" s="32">
        <v>44928</v>
      </c>
      <c r="B16" s="17" t="s">
        <v>60</v>
      </c>
      <c r="C16" s="17" t="e">
        <v>#N/A</v>
      </c>
    </row>
    <row r="17" spans="1:3" ht="14.4" x14ac:dyDescent="0.3">
      <c r="A17" s="32">
        <v>44929</v>
      </c>
      <c r="B17" s="17" t="s">
        <v>61</v>
      </c>
      <c r="C17" s="17">
        <v>50</v>
      </c>
    </row>
    <row r="18" spans="1:3" ht="14.4" x14ac:dyDescent="0.3">
      <c r="A18" s="32">
        <v>44930</v>
      </c>
      <c r="B18" s="17" t="s">
        <v>62</v>
      </c>
      <c r="C18" s="47" t="e">
        <v>#N/A</v>
      </c>
    </row>
    <row r="19" spans="1:3" ht="14.4" x14ac:dyDescent="0.3">
      <c r="A19" s="32">
        <v>44931</v>
      </c>
      <c r="B19" s="17" t="s">
        <v>63</v>
      </c>
      <c r="C19" s="17">
        <v>10</v>
      </c>
    </row>
    <row r="20" spans="1:3" ht="14.4" x14ac:dyDescent="0.3">
      <c r="A20" s="32">
        <v>44932</v>
      </c>
      <c r="B20" s="17" t="s">
        <v>153</v>
      </c>
      <c r="C20" s="17">
        <v>150</v>
      </c>
    </row>
    <row r="21" spans="1:3" ht="14.4" x14ac:dyDescent="0.3">
      <c r="A21" s="32">
        <v>44933</v>
      </c>
      <c r="B21" s="17" t="s">
        <v>154</v>
      </c>
      <c r="C21" s="17">
        <v>80</v>
      </c>
    </row>
    <row r="22" spans="1:3" ht="14.4" x14ac:dyDescent="0.3">
      <c r="A22" s="32">
        <v>44934</v>
      </c>
      <c r="B22" s="17" t="s">
        <v>155</v>
      </c>
      <c r="C22" s="17" t="e">
        <v>#N/A</v>
      </c>
    </row>
    <row r="23" spans="1:3" ht="14.4" x14ac:dyDescent="0.3">
      <c r="A23" s="32">
        <v>44935</v>
      </c>
      <c r="B23" s="17" t="s">
        <v>156</v>
      </c>
      <c r="C23" s="17">
        <v>30</v>
      </c>
    </row>
    <row r="24" spans="1:3" ht="14.4" x14ac:dyDescent="0.3">
      <c r="A24" s="32">
        <v>44936</v>
      </c>
      <c r="B24" s="17" t="s">
        <v>157</v>
      </c>
      <c r="C24" s="17" t="e">
        <v>#N/A</v>
      </c>
    </row>
    <row r="25" spans="1:3" ht="14.4" x14ac:dyDescent="0.3">
      <c r="B25" s="17" t="s">
        <v>158</v>
      </c>
      <c r="C25" s="25">
        <f>SUM(SUMIF(C15:C24,"&lt;&gt;#N/A"),COUNTIF(C15:C24,"#N/A")*20)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7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48" t="s">
        <v>190</v>
      </c>
    </row>
    <row r="5" spans="1:14" ht="18" x14ac:dyDescent="0.35">
      <c r="A5" s="43" t="s">
        <v>152</v>
      </c>
      <c r="B5" s="1" t="s">
        <v>189</v>
      </c>
    </row>
    <row r="6" spans="1:14" ht="14.4" x14ac:dyDescent="0.3">
      <c r="A6" s="3"/>
      <c r="B6" s="1" t="s">
        <v>191</v>
      </c>
    </row>
    <row r="7" spans="1:14" ht="14.4" x14ac:dyDescent="0.3">
      <c r="A7" s="3"/>
      <c r="B7" s="1" t="s">
        <v>192</v>
      </c>
    </row>
    <row r="8" spans="1:14" ht="14.4" x14ac:dyDescent="0.3">
      <c r="A8" s="3"/>
      <c r="B8" s="1">
        <v>4</v>
      </c>
    </row>
    <row r="10" spans="1:14" ht="23.4" x14ac:dyDescent="0.45">
      <c r="A10" s="18" t="s">
        <v>161</v>
      </c>
      <c r="M10" s="18" t="s">
        <v>162</v>
      </c>
    </row>
    <row r="11" spans="1:14" ht="14.4" x14ac:dyDescent="0.3">
      <c r="A11" s="26"/>
      <c r="B11" s="26" t="s">
        <v>89</v>
      </c>
      <c r="C11" s="26" t="s">
        <v>90</v>
      </c>
      <c r="D11" s="26" t="s">
        <v>91</v>
      </c>
      <c r="E11" s="26" t="s">
        <v>92</v>
      </c>
      <c r="F11" s="26" t="s">
        <v>93</v>
      </c>
      <c r="G11" s="26" t="s">
        <v>94</v>
      </c>
      <c r="H11" s="26" t="s">
        <v>95</v>
      </c>
      <c r="I11" s="26" t="s">
        <v>96</v>
      </c>
      <c r="J11" s="26" t="s">
        <v>97</v>
      </c>
      <c r="M11" s="19" t="s">
        <v>43</v>
      </c>
      <c r="N11" s="19" t="s">
        <v>99</v>
      </c>
    </row>
    <row r="12" spans="1:14" ht="14.4" x14ac:dyDescent="0.3">
      <c r="A12" s="26" t="s">
        <v>89</v>
      </c>
      <c r="B12" s="25">
        <v>-1</v>
      </c>
      <c r="C12" s="25">
        <v>95</v>
      </c>
      <c r="D12" s="25">
        <v>-1</v>
      </c>
      <c r="E12" s="25">
        <v>185</v>
      </c>
      <c r="F12" s="25">
        <v>255</v>
      </c>
      <c r="G12" s="25">
        <v>305</v>
      </c>
      <c r="H12" s="25">
        <v>415</v>
      </c>
      <c r="I12" s="25">
        <v>480</v>
      </c>
      <c r="J12" s="25">
        <v>525</v>
      </c>
      <c r="M12" s="12">
        <v>10100</v>
      </c>
      <c r="N12" s="12" t="s">
        <v>89</v>
      </c>
    </row>
    <row r="13" spans="1:14" ht="14.4" x14ac:dyDescent="0.3">
      <c r="A13" s="26" t="s">
        <v>90</v>
      </c>
      <c r="B13" s="25">
        <v>95</v>
      </c>
      <c r="C13" s="25">
        <v>-1</v>
      </c>
      <c r="D13" s="25">
        <v>-1</v>
      </c>
      <c r="E13" s="25">
        <v>90</v>
      </c>
      <c r="F13" s="25">
        <v>160</v>
      </c>
      <c r="G13" s="25">
        <v>210</v>
      </c>
      <c r="H13" s="25">
        <v>325</v>
      </c>
      <c r="I13" s="25">
        <v>390</v>
      </c>
      <c r="J13" s="25">
        <v>430</v>
      </c>
      <c r="M13" s="12">
        <v>10102</v>
      </c>
      <c r="N13" s="12" t="s">
        <v>90</v>
      </c>
    </row>
    <row r="14" spans="1:14" ht="14.4" x14ac:dyDescent="0.3">
      <c r="A14" s="26" t="s">
        <v>91</v>
      </c>
      <c r="B14" s="25">
        <v>-1</v>
      </c>
      <c r="C14" s="25">
        <v>-1</v>
      </c>
      <c r="D14" s="25">
        <v>-1</v>
      </c>
      <c r="E14" s="25">
        <v>60</v>
      </c>
      <c r="F14" s="25">
        <v>130</v>
      </c>
      <c r="G14" s="25">
        <v>180</v>
      </c>
      <c r="H14" s="25">
        <v>295</v>
      </c>
      <c r="I14" s="25">
        <v>355</v>
      </c>
      <c r="J14" s="25">
        <v>400</v>
      </c>
      <c r="M14" s="12">
        <v>10104</v>
      </c>
      <c r="N14" s="12" t="s">
        <v>91</v>
      </c>
    </row>
    <row r="15" spans="1:14" ht="14.4" x14ac:dyDescent="0.3">
      <c r="A15" s="26" t="s">
        <v>92</v>
      </c>
      <c r="B15" s="25">
        <v>185</v>
      </c>
      <c r="C15" s="25">
        <v>90</v>
      </c>
      <c r="D15" s="25">
        <v>60</v>
      </c>
      <c r="E15" s="25">
        <v>-1</v>
      </c>
      <c r="F15" s="25">
        <v>70</v>
      </c>
      <c r="G15" s="25">
        <v>120</v>
      </c>
      <c r="H15" s="25">
        <v>235</v>
      </c>
      <c r="I15" s="25">
        <v>300</v>
      </c>
      <c r="J15" s="25">
        <v>340</v>
      </c>
      <c r="M15" s="12">
        <v>10106</v>
      </c>
      <c r="N15" s="12" t="s">
        <v>92</v>
      </c>
    </row>
    <row r="16" spans="1:14" ht="14.4" x14ac:dyDescent="0.3">
      <c r="A16" s="26" t="s">
        <v>93</v>
      </c>
      <c r="B16" s="25">
        <v>255</v>
      </c>
      <c r="C16" s="25">
        <v>160</v>
      </c>
      <c r="D16" s="25">
        <v>130</v>
      </c>
      <c r="E16" s="25">
        <v>70</v>
      </c>
      <c r="F16" s="25">
        <v>-1</v>
      </c>
      <c r="G16" s="25">
        <v>50</v>
      </c>
      <c r="H16" s="25">
        <v>165</v>
      </c>
      <c r="I16" s="25">
        <v>230</v>
      </c>
      <c r="J16" s="25">
        <v>270</v>
      </c>
      <c r="M16" s="12">
        <v>10108</v>
      </c>
      <c r="N16" s="12" t="s">
        <v>93</v>
      </c>
    </row>
    <row r="17" spans="1:14" ht="14.4" x14ac:dyDescent="0.3">
      <c r="A17" s="26" t="s">
        <v>94</v>
      </c>
      <c r="B17" s="25">
        <v>305</v>
      </c>
      <c r="C17" s="25">
        <v>210</v>
      </c>
      <c r="D17" s="25">
        <v>180</v>
      </c>
      <c r="E17" s="25">
        <v>120</v>
      </c>
      <c r="F17" s="25">
        <v>50</v>
      </c>
      <c r="G17" s="25">
        <v>-1</v>
      </c>
      <c r="H17" s="25">
        <v>115</v>
      </c>
      <c r="I17" s="25">
        <v>180</v>
      </c>
      <c r="J17" s="25">
        <v>220</v>
      </c>
      <c r="M17" s="12">
        <v>10110</v>
      </c>
      <c r="N17" s="12" t="s">
        <v>94</v>
      </c>
    </row>
    <row r="18" spans="1:14" ht="14.4" x14ac:dyDescent="0.3">
      <c r="A18" s="26" t="s">
        <v>95</v>
      </c>
      <c r="B18" s="25">
        <v>415</v>
      </c>
      <c r="C18" s="25">
        <v>325</v>
      </c>
      <c r="D18" s="25">
        <v>295</v>
      </c>
      <c r="E18" s="25">
        <v>235</v>
      </c>
      <c r="F18" s="25">
        <v>165</v>
      </c>
      <c r="G18" s="25">
        <v>115</v>
      </c>
      <c r="H18" s="25">
        <v>-1</v>
      </c>
      <c r="I18" s="25">
        <v>65</v>
      </c>
      <c r="J18" s="25">
        <v>105</v>
      </c>
      <c r="M18" s="12">
        <v>10112</v>
      </c>
      <c r="N18" s="12" t="s">
        <v>95</v>
      </c>
    </row>
    <row r="19" spans="1:14" ht="14.4" x14ac:dyDescent="0.3">
      <c r="A19" s="26" t="s">
        <v>96</v>
      </c>
      <c r="B19" s="25">
        <v>480</v>
      </c>
      <c r="C19" s="25">
        <v>390</v>
      </c>
      <c r="D19" s="25">
        <v>355</v>
      </c>
      <c r="E19" s="25">
        <v>300</v>
      </c>
      <c r="F19" s="25">
        <v>230</v>
      </c>
      <c r="G19" s="25">
        <v>180</v>
      </c>
      <c r="H19" s="25">
        <v>65</v>
      </c>
      <c r="I19" s="25">
        <v>-1</v>
      </c>
      <c r="J19" s="25">
        <v>40</v>
      </c>
      <c r="M19" s="12">
        <v>10114</v>
      </c>
      <c r="N19" s="12" t="s">
        <v>96</v>
      </c>
    </row>
    <row r="20" spans="1:14" ht="14.4" x14ac:dyDescent="0.3">
      <c r="A20" s="26" t="s">
        <v>97</v>
      </c>
      <c r="B20" s="25">
        <v>525</v>
      </c>
      <c r="C20" s="25">
        <v>430</v>
      </c>
      <c r="D20" s="25">
        <v>400</v>
      </c>
      <c r="E20" s="25">
        <v>340</v>
      </c>
      <c r="F20" s="25">
        <v>270</v>
      </c>
      <c r="G20" s="25">
        <v>220</v>
      </c>
      <c r="H20" s="25">
        <v>105</v>
      </c>
      <c r="I20" s="25">
        <v>40</v>
      </c>
      <c r="J20" s="25">
        <v>-1</v>
      </c>
      <c r="M20" s="13">
        <v>10116</v>
      </c>
      <c r="N20" s="13" t="s">
        <v>97</v>
      </c>
    </row>
    <row r="23" spans="1:14" ht="23.4" x14ac:dyDescent="0.45">
      <c r="A23" s="18" t="s">
        <v>167</v>
      </c>
    </row>
    <row r="24" spans="1:14" ht="14.4" x14ac:dyDescent="0.3">
      <c r="A24" s="14" t="s">
        <v>100</v>
      </c>
      <c r="B24" s="17" t="s">
        <v>101</v>
      </c>
      <c r="C24" s="16" t="s">
        <v>102</v>
      </c>
    </row>
    <row r="25" spans="1:14" ht="14.4" x14ac:dyDescent="0.3">
      <c r="A25" s="7">
        <v>10100</v>
      </c>
      <c r="B25" s="12">
        <v>10102</v>
      </c>
      <c r="C25" s="44">
        <f>VLOOKUP((VLOOKUP(A25,$M$11:$N$20,2,FALSE)),$A$12:$J$20, MATCH((VLOOKUP(B25,$M$11:$N$20,2,FALSE)),$A$11:$J$11,0),FALSE)</f>
        <v>95</v>
      </c>
    </row>
    <row r="26" spans="1:14" ht="14.4" x14ac:dyDescent="0.3">
      <c r="A26" s="7">
        <v>10100</v>
      </c>
      <c r="B26" s="12">
        <v>10104</v>
      </c>
      <c r="C26" s="44">
        <f t="shared" ref="C26:C37" si="0">VLOOKUP((VLOOKUP(A26,$M$11:$N$20,2,FALSE)),$A$12:$J$20, MATCH((VLOOKUP(B26,$M$11:$N$20,2,FALSE)),$A$11:$J$11,0),FALSE)</f>
        <v>-1</v>
      </c>
    </row>
    <row r="27" spans="1:14" ht="14.4" x14ac:dyDescent="0.3">
      <c r="A27" s="7">
        <v>10108</v>
      </c>
      <c r="B27" s="12">
        <v>10102</v>
      </c>
      <c r="C27" s="44">
        <f t="shared" si="0"/>
        <v>160</v>
      </c>
    </row>
    <row r="28" spans="1:14" ht="14.4" x14ac:dyDescent="0.3">
      <c r="A28" s="7">
        <v>10100</v>
      </c>
      <c r="B28" s="12">
        <v>10106</v>
      </c>
      <c r="C28" s="44">
        <f t="shared" si="0"/>
        <v>185</v>
      </c>
    </row>
    <row r="29" spans="1:14" ht="14.4" x14ac:dyDescent="0.3">
      <c r="A29" s="7">
        <v>10108</v>
      </c>
      <c r="B29" s="12">
        <v>10110</v>
      </c>
      <c r="C29" s="44">
        <f t="shared" si="0"/>
        <v>50</v>
      </c>
    </row>
    <row r="30" spans="1:14" ht="14.4" x14ac:dyDescent="0.3">
      <c r="A30" s="7">
        <v>10102</v>
      </c>
      <c r="B30" s="12">
        <v>10104</v>
      </c>
      <c r="C30" s="44">
        <f t="shared" si="0"/>
        <v>-1</v>
      </c>
    </row>
    <row r="31" spans="1:14" ht="14.4" x14ac:dyDescent="0.3">
      <c r="A31" s="7">
        <v>10106</v>
      </c>
      <c r="B31" s="12">
        <v>10108</v>
      </c>
      <c r="C31" s="44">
        <f t="shared" si="0"/>
        <v>70</v>
      </c>
    </row>
    <row r="32" spans="1:14" ht="14.4" x14ac:dyDescent="0.3">
      <c r="A32" s="7">
        <v>10102</v>
      </c>
      <c r="B32" s="12">
        <v>10106</v>
      </c>
      <c r="C32" s="44">
        <f t="shared" si="0"/>
        <v>90</v>
      </c>
    </row>
    <row r="33" spans="1:3" ht="14.4" x14ac:dyDescent="0.3">
      <c r="A33" s="7">
        <v>10110</v>
      </c>
      <c r="B33" s="12">
        <v>10114</v>
      </c>
      <c r="C33" s="44">
        <f t="shared" si="0"/>
        <v>180</v>
      </c>
    </row>
    <row r="34" spans="1:3" ht="14.4" x14ac:dyDescent="0.3">
      <c r="A34" s="7">
        <v>10104</v>
      </c>
      <c r="B34" s="12">
        <v>10106</v>
      </c>
      <c r="C34" s="44">
        <f t="shared" si="0"/>
        <v>60</v>
      </c>
    </row>
    <row r="35" spans="1:3" ht="14.4" x14ac:dyDescent="0.3">
      <c r="A35" s="7">
        <v>10110</v>
      </c>
      <c r="B35" s="12">
        <v>10112</v>
      </c>
      <c r="C35" s="44">
        <f t="shared" si="0"/>
        <v>115</v>
      </c>
    </row>
    <row r="36" spans="1:3" ht="14.4" x14ac:dyDescent="0.3">
      <c r="A36" s="7">
        <v>10100</v>
      </c>
      <c r="B36" s="12">
        <v>10114</v>
      </c>
      <c r="C36" s="44">
        <f t="shared" si="0"/>
        <v>480</v>
      </c>
    </row>
    <row r="37" spans="1:3" ht="14.4" x14ac:dyDescent="0.3">
      <c r="A37" s="9">
        <v>10112</v>
      </c>
      <c r="B37" s="13">
        <v>10116</v>
      </c>
      <c r="C37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Goutam Abrol</cp:lastModifiedBy>
  <dcterms:created xsi:type="dcterms:W3CDTF">2015-02-10T17:33:11Z</dcterms:created>
  <dcterms:modified xsi:type="dcterms:W3CDTF">2024-10-23T18:04:56Z</dcterms:modified>
</cp:coreProperties>
</file>